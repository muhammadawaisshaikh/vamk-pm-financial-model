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8YokLKvnqyU9VxXjQU9bFEl+jexic8byDFY3GZO4e/Q="/>
    </ext>
  </extLst>
</workbook>
</file>

<file path=xl/sharedStrings.xml><?xml version="1.0" encoding="utf-8"?>
<sst xmlns="http://schemas.openxmlformats.org/spreadsheetml/2006/main" count="102" uniqueCount="87">
  <si>
    <t>Infation of opex</t>
  </si>
  <si>
    <t>Infation of FIT</t>
  </si>
  <si>
    <t>Start of operation</t>
  </si>
  <si>
    <t>Depreciation method</t>
  </si>
  <si>
    <t>Straight line</t>
  </si>
  <si>
    <t>Revenue</t>
  </si>
  <si>
    <t>Capacity factor</t>
  </si>
  <si>
    <t>Average Capavity</t>
  </si>
  <si>
    <t>Size of Turbine</t>
  </si>
  <si>
    <t>kW</t>
  </si>
  <si>
    <t>Wind Turbine Size</t>
  </si>
  <si>
    <r>
      <rPr>
        <rFont val="Calibri,sans-serif"/>
        <b/>
        <color rgb="FF000000"/>
        <sz val="11.0"/>
      </rPr>
      <t>Annual energy production (kWh):</t>
    </r>
    <r>
      <rPr>
        <rFont val="Calibri,sans-serif"/>
        <color rgb="FF000000"/>
        <sz val="11.0"/>
      </rPr>
      <t xml:space="preserve"> Generator Size x Capacity factor x Availability rate x 8760hrs</t>
    </r>
  </si>
  <si>
    <t>No.of Hours in ayear</t>
  </si>
  <si>
    <t>Energy =</t>
  </si>
  <si>
    <t>Availability rate</t>
  </si>
  <si>
    <t>FIT</t>
  </si>
  <si>
    <t>kWh/euros</t>
  </si>
  <si>
    <t>Feed in Tariff</t>
  </si>
  <si>
    <t>Total Revenue</t>
  </si>
  <si>
    <t>OPEX</t>
  </si>
  <si>
    <t>Euros</t>
  </si>
  <si>
    <t>Capex</t>
  </si>
  <si>
    <t>Repairs and Maitenance</t>
  </si>
  <si>
    <t>3% x Total Capex</t>
  </si>
  <si>
    <t>Turbines and turbines transformer</t>
  </si>
  <si>
    <t>Insurance</t>
  </si>
  <si>
    <t>Foundations, infrastructure and transformer</t>
  </si>
  <si>
    <t>Spare parts</t>
  </si>
  <si>
    <t>Internal cables and grid connection</t>
  </si>
  <si>
    <t>Management and Administration</t>
  </si>
  <si>
    <t>Permits/Legal and Financing</t>
  </si>
  <si>
    <t>Depreciation expenses</t>
  </si>
  <si>
    <t>Total Capex</t>
  </si>
  <si>
    <t>Total Opex</t>
  </si>
  <si>
    <t>Capital Structure</t>
  </si>
  <si>
    <t>Total investment cost</t>
  </si>
  <si>
    <t>Debt</t>
  </si>
  <si>
    <t>%</t>
  </si>
  <si>
    <t>Equity</t>
  </si>
  <si>
    <t>Annual Repayment Period(yrs)</t>
  </si>
  <si>
    <t>Interest rate</t>
  </si>
  <si>
    <t>Tax rate</t>
  </si>
  <si>
    <t>Income and Cashflow statement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</si>
  <si>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</si>
  <si>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</si>
  <si>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</si>
  <si>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</si>
  <si>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</si>
  <si>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</si>
  <si>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</si>
  <si>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</si>
  <si>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</si>
  <si>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</si>
  <si>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</si>
  <si>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</si>
  <si>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</si>
  <si>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</si>
  <si>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</si>
  <si>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</si>
  <si>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</si>
  <si>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</si>
  <si>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</si>
  <si>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</si>
  <si>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Repairs and Maintenance expenses</t>
  </si>
  <si>
    <t>Insurance expense</t>
  </si>
  <si>
    <t>Spare parts expense</t>
  </si>
  <si>
    <t>Management and expenses</t>
  </si>
  <si>
    <t>Less</t>
  </si>
  <si>
    <t>EBIT</t>
  </si>
  <si>
    <t>Interest expense</t>
  </si>
  <si>
    <t>EBT</t>
  </si>
  <si>
    <t>Taxes</t>
  </si>
  <si>
    <t>Net Income</t>
  </si>
  <si>
    <t>Cash flow statements</t>
  </si>
  <si>
    <t>Plus</t>
  </si>
  <si>
    <t>Depreciation</t>
  </si>
  <si>
    <t>Cash flow available for debt service (CFADS)</t>
  </si>
  <si>
    <t>Interest expenses</t>
  </si>
  <si>
    <t>Principal</t>
  </si>
  <si>
    <t>Free Cash flow to Equity</t>
  </si>
  <si>
    <t>Debt service cover ratio (DSCR)</t>
  </si>
  <si>
    <t>Turbines &amp; turbine transformer</t>
  </si>
  <si>
    <t>Foundation, infrastructure and farm transformer</t>
  </si>
  <si>
    <t>Permits/ Legal and Financing</t>
  </si>
  <si>
    <t>total investment cost</t>
  </si>
  <si>
    <t>repairs and maintenance (3%)</t>
  </si>
  <si>
    <t>DSCR=Cash Flow Available for Debt Service (CFADS) / Debt Service (Interest + Principal)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</si>
</sst>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rgb="FFFFFFFF"/>
      <name val="Calibri"/>
      <scheme val="minor"/>
    </font>
    <font>
      <b/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E7E6E6"/>
        <bgColor rgb="FFE7E6E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C55A11"/>
        <bgColor rgb="FFC55A11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9" xfId="0" applyBorder="1" applyFont="1" applyNumberFormat="1"/>
    <xf borderId="0" fillId="0" fontId="1" numFmtId="9" xfId="0" applyFont="1" applyNumberFormat="1"/>
    <xf borderId="0" fillId="0" fontId="2" numFmtId="0" xfId="0" applyFont="1"/>
    <xf borderId="1" fillId="3" fontId="3" numFmtId="0" xfId="0" applyBorder="1" applyFill="1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4" fontId="7" numFmtId="0" xfId="0" applyAlignment="1" applyFill="1" applyFont="1">
      <alignment readingOrder="0"/>
    </xf>
    <xf borderId="0" fillId="4" fontId="7" numFmtId="0" xfId="0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9" fontId="1" numFmtId="0" xfId="0" applyBorder="1" applyFill="1" applyFont="1"/>
    <xf borderId="0" fillId="0" fontId="5" numFmtId="3" xfId="0" applyAlignment="1" applyFont="1" applyNumberFormat="1">
      <alignment readingOrder="0"/>
    </xf>
    <xf borderId="1" fillId="10" fontId="1" numFmtId="0" xfId="0" applyBorder="1" applyFill="1" applyFont="1"/>
    <xf borderId="0" fillId="4" fontId="7" numFmtId="3" xfId="0" applyFont="1" applyNumberFormat="1"/>
    <xf borderId="1" fillId="11" fontId="1" numFmtId="0" xfId="0" applyBorder="1" applyFill="1" applyFont="1"/>
    <xf borderId="1" fillId="12" fontId="1" numFmtId="0" xfId="0" applyBorder="1" applyFill="1" applyFont="1"/>
    <xf borderId="0" fillId="0" fontId="1" numFmtId="0" xfId="0" applyAlignment="1" applyFont="1">
      <alignment horizontal="center"/>
    </xf>
    <xf borderId="1" fillId="13" fontId="1" numFmtId="0" xfId="0" applyBorder="1" applyFill="1" applyFont="1"/>
    <xf borderId="0" fillId="0" fontId="1" numFmtId="3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3" xfId="0" applyFont="1" applyNumberFormat="1"/>
    <xf borderId="1" fillId="14" fontId="1" numFmtId="0" xfId="0" applyBorder="1" applyFill="1" applyFont="1"/>
    <xf borderId="1" fillId="15" fontId="1" numFmtId="0" xfId="0" applyBorder="1" applyFill="1" applyFont="1"/>
    <xf borderId="0" fillId="0" fontId="1" numFmtId="0" xfId="0" applyAlignment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1" numFmtId="0" xfId="0" applyBorder="1" applyFont="1"/>
    <xf borderId="2" fillId="0" fontId="8" numFmtId="3" xfId="0" applyAlignment="1" applyBorder="1" applyFont="1" applyNumberFormat="1">
      <alignment horizontal="center" shrinkToFit="0" vertical="center" wrapText="1"/>
    </xf>
    <xf borderId="0" fillId="0" fontId="8" numFmtId="0" xfId="0" applyFont="1"/>
    <xf borderId="0" fillId="0" fontId="8" numFmtId="3" xfId="0" applyFont="1" applyNumberFormat="1"/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43"/>
    <col customWidth="1" min="4" max="4" width="11.57"/>
    <col customWidth="1" min="5" max="5" width="12.71"/>
    <col customWidth="1" min="6" max="6" width="8.71"/>
    <col customWidth="1" min="7" max="7" width="21.86"/>
    <col customWidth="1" min="8" max="9" width="9.86"/>
    <col customWidth="1" min="10" max="10" width="13.29"/>
    <col customWidth="1" min="11" max="27" width="9.86"/>
  </cols>
  <sheetData>
    <row r="1" ht="14.25" customHeight="1"/>
    <row r="2" ht="14.25" customHeight="1">
      <c r="B2" s="1" t="s">
        <v>0</v>
      </c>
      <c r="C2" s="1"/>
      <c r="D2" s="2"/>
      <c r="E2" s="3">
        <v>0.0</v>
      </c>
    </row>
    <row r="3" ht="14.25" customHeight="1">
      <c r="B3" s="1" t="s">
        <v>1</v>
      </c>
      <c r="C3" s="1"/>
      <c r="D3" s="2"/>
      <c r="E3" s="3">
        <v>0.0</v>
      </c>
    </row>
    <row r="4" ht="14.25" customHeight="1">
      <c r="B4" s="1" t="s">
        <v>2</v>
      </c>
      <c r="C4" s="1"/>
      <c r="D4" s="1"/>
    </row>
    <row r="5" ht="14.25" customHeight="1">
      <c r="B5" s="1" t="s">
        <v>3</v>
      </c>
      <c r="C5" s="1"/>
      <c r="D5" s="1"/>
      <c r="E5" s="4" t="s">
        <v>4</v>
      </c>
    </row>
    <row r="6" ht="14.25" customHeight="1"/>
    <row r="7" ht="14.25" customHeight="1">
      <c r="B7" s="5" t="s">
        <v>5</v>
      </c>
    </row>
    <row r="8" ht="14.25" customHeight="1">
      <c r="B8" s="1" t="s">
        <v>6</v>
      </c>
      <c r="C8" s="1"/>
      <c r="D8" s="1"/>
      <c r="E8" s="6">
        <v>0.3</v>
      </c>
      <c r="G8" s="7" t="s">
        <v>7</v>
      </c>
    </row>
    <row r="9" ht="14.25" customHeight="1">
      <c r="B9" s="1" t="s">
        <v>8</v>
      </c>
      <c r="C9" s="1"/>
      <c r="D9" s="1" t="s">
        <v>9</v>
      </c>
      <c r="E9" s="6">
        <v>1500.0</v>
      </c>
      <c r="G9" s="8" t="s">
        <v>10</v>
      </c>
      <c r="I9" s="9" t="s">
        <v>11</v>
      </c>
    </row>
    <row r="10" ht="14.25" customHeight="1">
      <c r="B10" s="1" t="s">
        <v>12</v>
      </c>
      <c r="C10" s="1"/>
      <c r="D10" s="1"/>
      <c r="E10" s="6">
        <v>8760.0</v>
      </c>
      <c r="I10" s="10" t="s">
        <v>13</v>
      </c>
      <c r="J10" s="11">
        <f>(E9*E8*E11*E10)</f>
        <v>3744900</v>
      </c>
    </row>
    <row r="11" ht="14.25" customHeight="1">
      <c r="B11" s="1" t="s">
        <v>14</v>
      </c>
      <c r="C11" s="1"/>
      <c r="D11" s="1"/>
      <c r="E11" s="6">
        <v>0.95</v>
      </c>
    </row>
    <row r="12" ht="14.25" customHeight="1">
      <c r="B12" s="1" t="s">
        <v>15</v>
      </c>
      <c r="C12" s="1"/>
      <c r="D12" s="1" t="s">
        <v>16</v>
      </c>
      <c r="E12" s="6">
        <v>0.14</v>
      </c>
      <c r="G12" s="8" t="s">
        <v>17</v>
      </c>
    </row>
    <row r="13" ht="14.25" customHeight="1">
      <c r="B13" s="12" t="s">
        <v>18</v>
      </c>
      <c r="C13" s="12"/>
      <c r="E13" s="6">
        <f>(J10*E12)</f>
        <v>524286</v>
      </c>
    </row>
    <row r="14" ht="14.25" customHeight="1"/>
    <row r="15" ht="14.25" customHeight="1">
      <c r="B15" s="13" t="s">
        <v>19</v>
      </c>
      <c r="F15" s="4" t="s">
        <v>20</v>
      </c>
      <c r="H15" s="14" t="s">
        <v>21</v>
      </c>
      <c r="M15" s="4" t="s">
        <v>20</v>
      </c>
    </row>
    <row r="16" ht="14.25" customHeight="1">
      <c r="B16" s="15" t="s">
        <v>22</v>
      </c>
      <c r="C16" s="15"/>
      <c r="D16" s="15"/>
      <c r="E16" s="4">
        <f>(0.03*M20)</f>
        <v>70050</v>
      </c>
      <c r="G16" s="7" t="s">
        <v>23</v>
      </c>
      <c r="H16" s="16" t="s">
        <v>24</v>
      </c>
      <c r="I16" s="16"/>
      <c r="J16" s="16"/>
      <c r="K16" s="16"/>
      <c r="L16" s="16"/>
      <c r="M16" s="17">
        <v>1725000.0</v>
      </c>
    </row>
    <row r="17" ht="14.25" customHeight="1">
      <c r="B17" s="15" t="s">
        <v>25</v>
      </c>
      <c r="C17" s="15"/>
      <c r="D17" s="15"/>
      <c r="E17" s="4">
        <f>(0.03*E13)</f>
        <v>15728.58</v>
      </c>
      <c r="H17" s="16" t="s">
        <v>26</v>
      </c>
      <c r="I17" s="16"/>
      <c r="J17" s="16"/>
      <c r="K17" s="16"/>
      <c r="L17" s="16"/>
      <c r="M17" s="17">
        <v>250000.0</v>
      </c>
    </row>
    <row r="18" ht="14.25" customHeight="1">
      <c r="B18" s="15" t="s">
        <v>27</v>
      </c>
      <c r="C18" s="15"/>
      <c r="D18" s="15"/>
      <c r="E18" s="4">
        <f>(0.012*M16)</f>
        <v>20700</v>
      </c>
      <c r="H18" s="16" t="s">
        <v>28</v>
      </c>
      <c r="I18" s="16"/>
      <c r="J18" s="16"/>
      <c r="K18" s="16"/>
      <c r="L18" s="16"/>
      <c r="M18" s="17">
        <v>160000.0</v>
      </c>
    </row>
    <row r="19" ht="14.25" customHeight="1">
      <c r="B19" s="15" t="s">
        <v>29</v>
      </c>
      <c r="C19" s="15"/>
      <c r="D19" s="15"/>
      <c r="E19" s="4">
        <f>(0.015*E13)</f>
        <v>7864.29</v>
      </c>
      <c r="H19" s="16" t="s">
        <v>30</v>
      </c>
      <c r="I19" s="16"/>
      <c r="J19" s="16"/>
      <c r="K19" s="16"/>
      <c r="L19" s="16"/>
      <c r="M19" s="17">
        <v>200000.0</v>
      </c>
    </row>
    <row r="20" ht="14.25" customHeight="1">
      <c r="B20" s="15" t="s">
        <v>31</v>
      </c>
      <c r="C20" s="15"/>
      <c r="D20" s="15"/>
      <c r="H20" s="16" t="s">
        <v>32</v>
      </c>
      <c r="I20" s="18"/>
      <c r="M20" s="19">
        <f>SUM(M16:M19)</f>
        <v>2335000</v>
      </c>
    </row>
    <row r="21" ht="14.25" customHeight="1">
      <c r="B21" s="12" t="s">
        <v>33</v>
      </c>
      <c r="C21" s="12"/>
    </row>
    <row r="22" ht="14.25" customHeight="1"/>
    <row r="23" ht="14.25" customHeight="1">
      <c r="B23" s="20" t="s">
        <v>34</v>
      </c>
      <c r="C23" s="20"/>
    </row>
    <row r="24" ht="14.25" customHeight="1">
      <c r="B24" s="4" t="s">
        <v>35</v>
      </c>
      <c r="D24" s="4" t="s">
        <v>20</v>
      </c>
      <c r="E24" s="19">
        <f>SUM(M16:M19)</f>
        <v>2335000</v>
      </c>
    </row>
    <row r="25" ht="14.25" customHeight="1">
      <c r="B25" s="4" t="s">
        <v>36</v>
      </c>
      <c r="D25" s="4" t="s">
        <v>37</v>
      </c>
      <c r="E25" s="6">
        <v>75.0</v>
      </c>
    </row>
    <row r="26" ht="14.25" customHeight="1">
      <c r="B26" s="4" t="s">
        <v>38</v>
      </c>
      <c r="D26" s="4" t="s">
        <v>37</v>
      </c>
      <c r="E26" s="6">
        <v>25.0</v>
      </c>
    </row>
    <row r="27" ht="14.25" customHeight="1">
      <c r="B27" s="4" t="s">
        <v>39</v>
      </c>
      <c r="E27" s="6">
        <v>20.0</v>
      </c>
    </row>
    <row r="28" ht="14.25" customHeight="1">
      <c r="B28" s="4" t="s">
        <v>40</v>
      </c>
      <c r="D28" s="4" t="s">
        <v>37</v>
      </c>
      <c r="E28" s="6">
        <v>8.0</v>
      </c>
    </row>
    <row r="29" ht="14.25" customHeight="1">
      <c r="B29" s="4" t="s">
        <v>41</v>
      </c>
      <c r="D29" s="4" t="s">
        <v>37</v>
      </c>
      <c r="E29" s="6">
        <v>2.0</v>
      </c>
    </row>
    <row r="30" ht="14.25" customHeight="1"/>
    <row r="31" ht="14.25" customHeight="1"/>
    <row r="32" ht="14.25" customHeight="1">
      <c r="B32" s="21" t="s">
        <v>42</v>
      </c>
      <c r="C32" s="21"/>
      <c r="D32" s="21"/>
    </row>
    <row r="33" ht="14.25" customHeight="1">
      <c r="H33" s="22" t="s">
        <v>43</v>
      </c>
      <c r="I33" s="22" t="s">
        <v>44</v>
      </c>
      <c r="J33" s="22" t="s">
        <v>45</v>
      </c>
      <c r="K33" s="22" t="s">
        <v>46</v>
      </c>
      <c r="L33" s="22" t="s">
        <v>47</v>
      </c>
      <c r="M33" s="22" t="s">
        <v>48</v>
      </c>
      <c r="N33" s="22" t="s">
        <v>49</v>
      </c>
      <c r="O33" s="22" t="s">
        <v>50</v>
      </c>
      <c r="P33" s="22" t="s">
        <v>51</v>
      </c>
      <c r="Q33" s="22" t="s">
        <v>52</v>
      </c>
      <c r="R33" s="22" t="s">
        <v>53</v>
      </c>
      <c r="S33" s="22" t="s">
        <v>54</v>
      </c>
      <c r="T33" s="22" t="s">
        <v>55</v>
      </c>
      <c r="U33" s="22" t="s">
        <v>56</v>
      </c>
      <c r="V33" s="22" t="s">
        <v>57</v>
      </c>
      <c r="W33" s="22" t="s">
        <v>58</v>
      </c>
      <c r="X33" s="22" t="s">
        <v>59</v>
      </c>
      <c r="Y33" s="22" t="s">
        <v>60</v>
      </c>
      <c r="Z33" s="22" t="s">
        <v>61</v>
      </c>
      <c r="AA33" s="22" t="s">
        <v>62</v>
      </c>
    </row>
    <row r="34" ht="14.25" customHeight="1">
      <c r="B34" s="23" t="s">
        <v>5</v>
      </c>
      <c r="H34" s="24">
        <v>525546.0</v>
      </c>
      <c r="I34" s="24">
        <v>525546.0</v>
      </c>
      <c r="J34" s="24">
        <v>525546.0</v>
      </c>
      <c r="K34" s="24">
        <v>525546.0</v>
      </c>
      <c r="L34" s="24">
        <v>525546.0</v>
      </c>
      <c r="M34" s="24">
        <v>525546.0</v>
      </c>
      <c r="N34" s="24">
        <v>525546.0</v>
      </c>
      <c r="O34" s="24">
        <v>525546.0</v>
      </c>
      <c r="P34" s="24">
        <v>525546.0</v>
      </c>
      <c r="Q34" s="24">
        <v>525546.0</v>
      </c>
      <c r="R34" s="24">
        <v>525546.0</v>
      </c>
      <c r="S34" s="24">
        <v>525546.0</v>
      </c>
      <c r="T34" s="24">
        <v>525546.0</v>
      </c>
      <c r="U34" s="24">
        <v>525546.0</v>
      </c>
      <c r="V34" s="24">
        <v>525546.0</v>
      </c>
      <c r="W34" s="24">
        <v>525546.0</v>
      </c>
      <c r="X34" s="24">
        <v>525546.0</v>
      </c>
      <c r="Y34" s="24">
        <v>525546.0</v>
      </c>
      <c r="Z34" s="24">
        <v>525546.0</v>
      </c>
      <c r="AA34" s="24">
        <v>525546.0</v>
      </c>
    </row>
    <row r="35" ht="14.25" customHeight="1">
      <c r="B35" s="16" t="s">
        <v>63</v>
      </c>
      <c r="C35" s="16"/>
      <c r="D35" s="16"/>
      <c r="H35" s="24">
        <v>70050.0</v>
      </c>
      <c r="I35" s="24">
        <v>70050.0</v>
      </c>
      <c r="J35" s="24">
        <v>70050.0</v>
      </c>
      <c r="K35" s="24">
        <v>70050.0</v>
      </c>
      <c r="L35" s="24">
        <v>70050.0</v>
      </c>
      <c r="M35" s="24">
        <v>70050.0</v>
      </c>
      <c r="N35" s="24">
        <v>70050.0</v>
      </c>
      <c r="O35" s="24">
        <v>70050.0</v>
      </c>
      <c r="P35" s="24">
        <v>70050.0</v>
      </c>
      <c r="Q35" s="24">
        <v>70050.0</v>
      </c>
      <c r="R35" s="24">
        <v>70050.0</v>
      </c>
      <c r="S35" s="24">
        <v>70050.0</v>
      </c>
      <c r="T35" s="24">
        <v>70050.0</v>
      </c>
      <c r="U35" s="24">
        <v>70050.0</v>
      </c>
      <c r="V35" s="24">
        <v>70050.0</v>
      </c>
      <c r="W35" s="24">
        <v>70050.0</v>
      </c>
      <c r="X35" s="24">
        <v>70050.0</v>
      </c>
      <c r="Y35" s="24">
        <v>70050.0</v>
      </c>
      <c r="Z35" s="24">
        <v>70050.0</v>
      </c>
      <c r="AA35" s="24">
        <v>70050.0</v>
      </c>
    </row>
    <row r="36" ht="14.25" customHeight="1">
      <c r="B36" s="16" t="s">
        <v>64</v>
      </c>
      <c r="C36" s="16"/>
      <c r="D36" s="16"/>
      <c r="H36" s="25">
        <v>1576.64</v>
      </c>
      <c r="I36" s="25">
        <v>1576.64</v>
      </c>
      <c r="J36" s="25">
        <v>1576.64</v>
      </c>
      <c r="K36" s="25">
        <v>1576.64</v>
      </c>
      <c r="L36" s="25">
        <v>1576.64</v>
      </c>
      <c r="M36" s="25">
        <v>1576.64</v>
      </c>
      <c r="N36" s="25">
        <v>1576.64</v>
      </c>
      <c r="O36" s="25">
        <v>1576.64</v>
      </c>
      <c r="P36" s="25">
        <v>1576.64</v>
      </c>
      <c r="Q36" s="25">
        <v>1576.64</v>
      </c>
      <c r="R36" s="25">
        <v>1576.64</v>
      </c>
      <c r="S36" s="25">
        <v>1576.64</v>
      </c>
      <c r="T36" s="25">
        <v>1576.64</v>
      </c>
      <c r="U36" s="25">
        <v>1576.64</v>
      </c>
      <c r="V36" s="25">
        <v>1576.64</v>
      </c>
      <c r="W36" s="25">
        <v>1576.64</v>
      </c>
      <c r="X36" s="25">
        <v>1576.64</v>
      </c>
      <c r="Y36" s="25">
        <v>1576.64</v>
      </c>
      <c r="Z36" s="25">
        <v>1576.64</v>
      </c>
      <c r="AA36" s="25">
        <v>1576.64</v>
      </c>
    </row>
    <row r="37" ht="14.25" customHeight="1">
      <c r="B37" s="16" t="s">
        <v>65</v>
      </c>
      <c r="C37" s="16"/>
      <c r="D37" s="16"/>
      <c r="H37" s="25">
        <v>7883.19</v>
      </c>
      <c r="I37" s="25">
        <v>7883.19</v>
      </c>
      <c r="J37" s="25">
        <v>7883.19</v>
      </c>
      <c r="K37" s="25">
        <v>7883.19</v>
      </c>
      <c r="L37" s="25">
        <v>7883.19</v>
      </c>
      <c r="M37" s="25">
        <v>7883.19</v>
      </c>
      <c r="N37" s="25">
        <v>7883.19</v>
      </c>
      <c r="O37" s="25">
        <v>7883.19</v>
      </c>
      <c r="P37" s="25">
        <v>7883.19</v>
      </c>
      <c r="Q37" s="25">
        <v>7883.19</v>
      </c>
      <c r="R37" s="25">
        <v>7883.19</v>
      </c>
      <c r="S37" s="25">
        <v>7883.19</v>
      </c>
      <c r="T37" s="25">
        <v>7883.19</v>
      </c>
      <c r="U37" s="25">
        <v>7883.19</v>
      </c>
      <c r="V37" s="25">
        <v>7883.19</v>
      </c>
      <c r="W37" s="25">
        <v>7883.19</v>
      </c>
      <c r="X37" s="25">
        <v>7883.19</v>
      </c>
      <c r="Y37" s="25">
        <v>7883.19</v>
      </c>
      <c r="Z37" s="25">
        <v>7883.19</v>
      </c>
      <c r="AA37" s="25">
        <v>7883.19</v>
      </c>
    </row>
    <row r="38" ht="14.25" customHeight="1">
      <c r="B38" s="16" t="s">
        <v>66</v>
      </c>
      <c r="C38" s="16"/>
      <c r="D38" s="16"/>
      <c r="H38" s="24">
        <v>20700.0</v>
      </c>
      <c r="I38" s="24">
        <v>20700.0</v>
      </c>
      <c r="J38" s="24">
        <v>20700.0</v>
      </c>
      <c r="K38" s="24">
        <v>20700.0</v>
      </c>
      <c r="L38" s="24">
        <v>20700.0</v>
      </c>
      <c r="M38" s="24">
        <v>20700.0</v>
      </c>
      <c r="N38" s="24">
        <v>20700.0</v>
      </c>
      <c r="O38" s="24">
        <v>20700.0</v>
      </c>
      <c r="P38" s="24">
        <v>20700.0</v>
      </c>
      <c r="Q38" s="24">
        <v>20700.0</v>
      </c>
      <c r="R38" s="24">
        <v>20700.0</v>
      </c>
      <c r="S38" s="24">
        <v>20700.0</v>
      </c>
      <c r="T38" s="24">
        <v>20700.0</v>
      </c>
      <c r="U38" s="24">
        <v>20700.0</v>
      </c>
      <c r="V38" s="24">
        <v>20700.0</v>
      </c>
      <c r="W38" s="24">
        <v>20700.0</v>
      </c>
      <c r="X38" s="24">
        <v>20700.0</v>
      </c>
      <c r="Y38" s="24">
        <v>20700.0</v>
      </c>
      <c r="Z38" s="24">
        <v>20700.0</v>
      </c>
      <c r="AA38" s="24">
        <v>20700.0</v>
      </c>
    </row>
    <row r="39" ht="14.25" customHeight="1">
      <c r="B39" s="16" t="s">
        <v>31</v>
      </c>
      <c r="C39" s="16"/>
      <c r="D39" s="16"/>
      <c r="H39" s="4">
        <v>116750.0</v>
      </c>
      <c r="I39" s="4">
        <v>116750.0</v>
      </c>
      <c r="J39" s="4">
        <v>116750.0</v>
      </c>
      <c r="K39" s="4">
        <v>116750.0</v>
      </c>
      <c r="L39" s="4">
        <v>116750.0</v>
      </c>
      <c r="M39" s="4">
        <v>116750.0</v>
      </c>
      <c r="N39" s="4">
        <v>116750.0</v>
      </c>
      <c r="O39" s="4">
        <v>116750.0</v>
      </c>
      <c r="P39" s="4">
        <v>116750.0</v>
      </c>
      <c r="Q39" s="4">
        <v>116750.0</v>
      </c>
      <c r="R39" s="4">
        <v>116750.0</v>
      </c>
      <c r="S39" s="4">
        <v>116750.0</v>
      </c>
      <c r="T39" s="4">
        <v>116750.0</v>
      </c>
      <c r="U39" s="4">
        <v>116750.0</v>
      </c>
      <c r="V39" s="4">
        <v>116750.0</v>
      </c>
      <c r="W39" s="4">
        <v>116750.0</v>
      </c>
      <c r="X39" s="4">
        <v>116750.0</v>
      </c>
      <c r="Y39" s="4">
        <v>116750.0</v>
      </c>
      <c r="Z39" s="4">
        <v>116750.0</v>
      </c>
      <c r="AA39" s="4">
        <v>116750.0</v>
      </c>
    </row>
    <row r="40" ht="14.25" customHeight="1">
      <c r="A40" s="4" t="s">
        <v>67</v>
      </c>
      <c r="B40" s="12" t="s">
        <v>33</v>
      </c>
      <c r="C40" s="12"/>
      <c r="H40" s="26">
        <f t="shared" ref="H40:AA40" si="1">SUM(H35:H39)</f>
        <v>216959.83</v>
      </c>
      <c r="I40" s="26">
        <f t="shared" si="1"/>
        <v>216959.83</v>
      </c>
      <c r="J40" s="26">
        <f t="shared" si="1"/>
        <v>216959.83</v>
      </c>
      <c r="K40" s="26">
        <f t="shared" si="1"/>
        <v>216959.83</v>
      </c>
      <c r="L40" s="26">
        <f t="shared" si="1"/>
        <v>216959.83</v>
      </c>
      <c r="M40" s="26">
        <f t="shared" si="1"/>
        <v>216959.83</v>
      </c>
      <c r="N40" s="26">
        <f t="shared" si="1"/>
        <v>216959.83</v>
      </c>
      <c r="O40" s="26">
        <f t="shared" si="1"/>
        <v>216959.83</v>
      </c>
      <c r="P40" s="26">
        <f t="shared" si="1"/>
        <v>216959.83</v>
      </c>
      <c r="Q40" s="26">
        <f t="shared" si="1"/>
        <v>216959.83</v>
      </c>
      <c r="R40" s="26">
        <f t="shared" si="1"/>
        <v>216959.83</v>
      </c>
      <c r="S40" s="26">
        <f t="shared" si="1"/>
        <v>216959.83</v>
      </c>
      <c r="T40" s="26">
        <f t="shared" si="1"/>
        <v>216959.83</v>
      </c>
      <c r="U40" s="26">
        <f t="shared" si="1"/>
        <v>216959.83</v>
      </c>
      <c r="V40" s="26">
        <f t="shared" si="1"/>
        <v>216959.83</v>
      </c>
      <c r="W40" s="26">
        <f t="shared" si="1"/>
        <v>216959.83</v>
      </c>
      <c r="X40" s="26">
        <f t="shared" si="1"/>
        <v>216959.83</v>
      </c>
      <c r="Y40" s="26">
        <f t="shared" si="1"/>
        <v>216959.83</v>
      </c>
      <c r="Z40" s="26">
        <f t="shared" si="1"/>
        <v>216959.83</v>
      </c>
      <c r="AA40" s="26">
        <f t="shared" si="1"/>
        <v>216959.83</v>
      </c>
    </row>
    <row r="41" ht="14.25" customHeight="1">
      <c r="B41" s="4" t="s">
        <v>68</v>
      </c>
      <c r="H41" s="4">
        <v>308586.17</v>
      </c>
      <c r="I41" s="4">
        <v>308586.17</v>
      </c>
      <c r="J41" s="4">
        <v>308586.17</v>
      </c>
      <c r="K41" s="4">
        <v>308586.17</v>
      </c>
      <c r="L41" s="4">
        <v>308586.17</v>
      </c>
      <c r="M41" s="4">
        <v>308586.17</v>
      </c>
      <c r="N41" s="4">
        <v>308586.17</v>
      </c>
      <c r="O41" s="4">
        <v>308586.17</v>
      </c>
      <c r="P41" s="4">
        <v>308586.17</v>
      </c>
      <c r="Q41" s="4">
        <v>308586.17</v>
      </c>
      <c r="R41" s="4">
        <v>308586.17</v>
      </c>
      <c r="S41" s="4">
        <v>308586.17</v>
      </c>
      <c r="T41" s="4">
        <v>308586.17</v>
      </c>
      <c r="U41" s="4">
        <v>308586.17</v>
      </c>
      <c r="V41" s="4">
        <v>308586.17</v>
      </c>
      <c r="W41" s="4">
        <v>308586.17</v>
      </c>
      <c r="X41" s="4">
        <v>308586.17</v>
      </c>
      <c r="Y41" s="4">
        <v>308586.17</v>
      </c>
      <c r="Z41" s="4">
        <v>308586.17</v>
      </c>
      <c r="AA41" s="4">
        <v>308586.17</v>
      </c>
    </row>
    <row r="42" ht="14.25" customHeight="1">
      <c r="A42" s="4" t="s">
        <v>67</v>
      </c>
      <c r="B42" s="4" t="s">
        <v>69</v>
      </c>
      <c r="H42" s="24">
        <v>140100.0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4.25" customHeight="1">
      <c r="B43" s="4" t="s">
        <v>70</v>
      </c>
      <c r="H43" s="25">
        <v>168486.17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4.25" customHeight="1">
      <c r="A44" s="4" t="s">
        <v>67</v>
      </c>
      <c r="B44" s="4" t="s">
        <v>71</v>
      </c>
      <c r="H44" s="4">
        <v>3369.72</v>
      </c>
    </row>
    <row r="45" ht="14.25" customHeight="1">
      <c r="B45" s="27" t="s">
        <v>72</v>
      </c>
      <c r="C45" s="27"/>
      <c r="H45" s="4">
        <v>165116.45</v>
      </c>
    </row>
    <row r="46" ht="14.25" customHeight="1"/>
    <row r="47" ht="14.25" customHeight="1"/>
    <row r="48" ht="14.25" customHeight="1">
      <c r="B48" s="21" t="s">
        <v>73</v>
      </c>
      <c r="C48" s="21"/>
    </row>
    <row r="49" ht="14.25" customHeight="1">
      <c r="B49" s="4" t="s">
        <v>68</v>
      </c>
      <c r="H49" s="4">
        <v>308586.17</v>
      </c>
    </row>
    <row r="50" ht="14.25" customHeight="1">
      <c r="A50" s="4" t="s">
        <v>67</v>
      </c>
      <c r="B50" s="4" t="s">
        <v>71</v>
      </c>
      <c r="H50" s="3">
        <v>0.02</v>
      </c>
    </row>
    <row r="51" ht="14.25" customHeight="1">
      <c r="A51" s="4" t="s">
        <v>74</v>
      </c>
      <c r="B51" s="4" t="s">
        <v>75</v>
      </c>
      <c r="H51" s="4">
        <v>20.0</v>
      </c>
    </row>
    <row r="52" ht="14.25" customHeight="1">
      <c r="B52" s="12" t="s">
        <v>76</v>
      </c>
      <c r="C52" s="12"/>
      <c r="D52" s="12"/>
      <c r="E52" s="12"/>
      <c r="H52" s="4">
        <v>421966.45</v>
      </c>
    </row>
    <row r="53" ht="14.25" customHeight="1">
      <c r="A53" s="4" t="s">
        <v>67</v>
      </c>
      <c r="B53" s="4" t="s">
        <v>77</v>
      </c>
      <c r="H53" s="24">
        <v>140100.0</v>
      </c>
    </row>
    <row r="54" ht="14.25" customHeight="1">
      <c r="B54" s="4" t="s">
        <v>78</v>
      </c>
      <c r="H54" s="4">
        <v>87562.5</v>
      </c>
      <c r="I54" s="4">
        <v>87562.5</v>
      </c>
      <c r="J54" s="4">
        <v>87562.5</v>
      </c>
      <c r="K54" s="4">
        <v>87562.5</v>
      </c>
      <c r="L54" s="4">
        <v>87562.5</v>
      </c>
      <c r="M54" s="4">
        <v>87562.5</v>
      </c>
      <c r="N54" s="4">
        <v>87562.5</v>
      </c>
      <c r="O54" s="4">
        <v>87562.5</v>
      </c>
      <c r="P54" s="4">
        <v>87562.5</v>
      </c>
      <c r="Q54" s="4">
        <v>87562.5</v>
      </c>
      <c r="R54" s="4">
        <v>87562.5</v>
      </c>
      <c r="S54" s="4">
        <v>87562.5</v>
      </c>
      <c r="T54" s="4">
        <v>87562.5</v>
      </c>
      <c r="U54" s="4">
        <v>87562.5</v>
      </c>
      <c r="V54" s="4">
        <v>87562.5</v>
      </c>
      <c r="W54" s="4">
        <v>87562.5</v>
      </c>
      <c r="X54" s="4">
        <v>87562.5</v>
      </c>
      <c r="Y54" s="4">
        <v>87562.5</v>
      </c>
      <c r="Z54" s="4">
        <v>87562.5</v>
      </c>
      <c r="AA54" s="4">
        <v>87562.5</v>
      </c>
    </row>
    <row r="55" ht="14.25" customHeight="1">
      <c r="B55" s="4" t="s">
        <v>79</v>
      </c>
      <c r="G55" s="4">
        <f>-F26</f>
        <v>0</v>
      </c>
      <c r="H55" s="25">
        <v>194303.95</v>
      </c>
    </row>
    <row r="56" ht="14.25" customHeight="1">
      <c r="B56" s="28" t="s">
        <v>80</v>
      </c>
      <c r="C56" s="28"/>
      <c r="D56" s="28"/>
      <c r="H56" s="29">
        <v>1.85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I9:Q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5.86"/>
    <col customWidth="1" min="5" max="6" width="8.71"/>
    <col customWidth="1" min="7" max="7" width="26.57"/>
    <col customWidth="1" min="8" max="8" width="73.86"/>
    <col customWidth="1" min="9" max="26" width="8.71"/>
  </cols>
  <sheetData>
    <row r="1" ht="14.25" customHeight="1">
      <c r="D1" s="30" t="s">
        <v>81</v>
      </c>
      <c r="E1" s="31"/>
      <c r="F1" s="31"/>
      <c r="G1" s="32">
        <v>1725000.0</v>
      </c>
    </row>
    <row r="2" ht="39.75" customHeight="1">
      <c r="D2" s="30" t="s">
        <v>82</v>
      </c>
      <c r="E2" s="31"/>
      <c r="F2" s="31"/>
      <c r="G2" s="32">
        <v>250000.0</v>
      </c>
    </row>
    <row r="3" ht="12.0" customHeight="1">
      <c r="D3" s="30" t="s">
        <v>28</v>
      </c>
      <c r="E3" s="31"/>
      <c r="F3" s="31"/>
      <c r="G3" s="32">
        <v>160000.0</v>
      </c>
    </row>
    <row r="4" ht="14.25" customHeight="1">
      <c r="D4" s="30" t="s">
        <v>83</v>
      </c>
      <c r="E4" s="31"/>
      <c r="F4" s="31"/>
      <c r="G4" s="32">
        <v>200000.0</v>
      </c>
    </row>
    <row r="5" ht="14.25" customHeight="1"/>
    <row r="6" ht="14.25" customHeight="1">
      <c r="A6" s="33"/>
      <c r="B6" s="33"/>
      <c r="C6" s="33"/>
      <c r="D6" s="33" t="s">
        <v>84</v>
      </c>
      <c r="E6" s="33"/>
      <c r="F6" s="33"/>
      <c r="G6" s="34">
        <f>SUM(G1:G4)</f>
        <v>2335000</v>
      </c>
      <c r="H6" s="33"/>
    </row>
    <row r="7" ht="14.25" customHeight="1"/>
    <row r="8" ht="14.25" customHeight="1">
      <c r="D8" s="4" t="s">
        <v>85</v>
      </c>
      <c r="G8" s="4">
        <f>0.3*G6</f>
        <v>700500</v>
      </c>
    </row>
    <row r="9" ht="14.25" customHeight="1"/>
    <row r="10" ht="14.25" customHeight="1"/>
    <row r="11" ht="14.25" customHeight="1"/>
    <row r="12" ht="14.25" customHeight="1">
      <c r="B12" s="35" t="s">
        <v>86</v>
      </c>
    </row>
    <row r="13" ht="14.25" customHeight="1"/>
    <row r="14" ht="14.25" customHeight="1"/>
    <row r="15" ht="14.25" customHeight="1"/>
    <row r="16" ht="14.25" customHeight="1"/>
    <row r="17" ht="14.25" customHeight="1">
      <c r="G17" s="3"/>
    </row>
    <row r="18" ht="14.25" customHeight="1"/>
    <row r="19" ht="14.25" customHeight="1"/>
    <row r="20" ht="14.25" customHeight="1">
      <c r="G20" s="24"/>
    </row>
    <row r="21" ht="14.25" customHeight="1"/>
    <row r="22" ht="14.25" customHeight="1">
      <c r="G22" s="25"/>
    </row>
    <row r="23" ht="14.25" customHeight="1">
      <c r="G23" s="29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2023-11-10T19:06:38Z</dcterms:created>
  <dc:creator>Agbejule, Adebayo</dc:creator>
</cp:coreProperties>
</file>